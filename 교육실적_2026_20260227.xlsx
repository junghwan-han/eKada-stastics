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년 교육실적" sheetId="1" r:id="rId1"/>
    <sheet name="BA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24"/>
  <sheetViews>
    <sheetView workbookViewId="0"/>
  </sheetViews>
  <cols>
    <col min="1" max="1" width="40.83203125" customWidth="1"/>
    <col min="2" max="2" width="6.83203125" customWidth="1"/>
    <col min="3" max="3" width="6.83203125" customWidth="1"/>
    <col min="4" max="4" width="6.83203125" customWidth="1"/>
    <col min="5" max="5" width="20.83203125" customWidth="1"/>
    <col min="6" max="6" width="12.83203125" customWidth="1"/>
    <col min="7" max="7" width="4.83203125" customWidth="1"/>
    <col min="8" max="8" width="8.83203125" customWidth="1"/>
    <col min="9" max="9" width="6.83203125" customWidth="1"/>
    <col min="10" max="10" width="10.83203125" customWidth="1"/>
    <col min="11" max="11" width="8.83203125" customWidth="1"/>
    <col min="12" max="12" width="6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12.83203125" customWidth="1"/>
    <col min="23" max="23" width="5.83203125" customWidth="1"/>
    <col min="24" max="24" width="5.83203125" customWidth="1"/>
    <col min="25" max="25" width="5.83203125" customWidth="1"/>
    <col min="26" max="26" width="5.83203125" customWidth="1"/>
    <col min="27" max="27" width="5.83203125" customWidth="1"/>
    <col min="28" max="28" width="5.83203125" customWidth="1"/>
    <col min="29" max="29" width="5.83203125" customWidth="1"/>
    <col min="30" max="30" width="5.83203125" customWidth="1"/>
    <col min="31" max="31" width="5.83203125" customWidth="1"/>
    <col min="32" max="32" width="5.83203125" customWidth="1"/>
    <col min="33" max="33" width="5.83203125" customWidth="1"/>
    <col min="34" max="34" width="5.83203125" customWidth="1"/>
    <col min="35" max="35" width="5.83203125" customWidth="1"/>
    <col min="36" max="36" width="5.83203125" customWidth="1"/>
    <col min="37" max="37" width="5.83203125" customWidth="1"/>
    <col min="38" max="38" width="5.83203125" customWidth="1"/>
    <col min="39" max="39" width="5.83203125" customWidth="1"/>
    <col min="40" max="40" width="5.83203125" customWidth="1"/>
    <col min="41" max="41" width="5.83203125" customWidth="1"/>
    <col min="42" max="42" width="5.83203125" customWidth="1"/>
    <col min="43" max="43" width="5.83203125" customWidth="1"/>
    <col min="44" max="44" width="5.83203125" customWidth="1"/>
    <col min="45" max="45" width="5.83203125" customWidth="1"/>
    <col min="46" max="46" width="5.83203125" customWidth="1"/>
    <col min="47" max="47" width="5.83203125" customWidth="1"/>
    <col min="48" max="48" width="5.83203125" customWidth="1"/>
    <col min="49" max="49" width="5.83203125" customWidth="1"/>
    <col min="50" max="50" width="5.83203125" customWidth="1"/>
    <col min="51" max="51" width="5.83203125" customWidth="1"/>
    <col min="52" max="52" width="5.83203125" customWidth="1"/>
    <col min="53" max="53" width="5.83203125" customWidth="1"/>
    <col min="54" max="54" width="5.83203125" customWidth="1"/>
    <col min="55" max="55" width="5.83203125" customWidth="1"/>
    <col min="56" max="56" width="5.83203125" customWidth="1"/>
    <col min="57" max="57" width="5.83203125" customWidth="1"/>
    <col min="58" max="58" width="5.83203125" customWidth="1"/>
    <col min="59" max="59" width="5.83203125" customWidth="1"/>
    <col min="60" max="60" width="5.83203125" customWidth="1"/>
    <col min="61" max="61" width="5.83203125" customWidth="1"/>
    <col min="62" max="62" width="5.83203125" customWidth="1"/>
    <col min="63" max="63" width="5.83203125" customWidth="1"/>
    <col min="64" max="64" width="6.83203125" customWidth="1"/>
    <col min="65" max="65" width="2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>
        <v>2</v>
      </c>
      <c r="Y1">
        <v>2</v>
      </c>
      <c r="Z1">
        <v>2</v>
      </c>
      <c r="AA1">
        <v>2</v>
      </c>
      <c r="AB1">
        <v>2</v>
      </c>
      <c r="AC1">
        <v>1</v>
      </c>
      <c r="AD1">
        <v>1</v>
      </c>
      <c r="AE1">
        <v>1</v>
      </c>
      <c r="AF1">
        <v>1</v>
      </c>
      <c r="AG1">
        <v>3</v>
      </c>
      <c r="AH1">
        <v>3</v>
      </c>
      <c r="AI1">
        <v>4</v>
      </c>
      <c r="AJ1">
        <v>4</v>
      </c>
      <c r="AK1">
        <v>4</v>
      </c>
      <c r="AL1">
        <v>3</v>
      </c>
      <c r="AM1">
        <v>4</v>
      </c>
      <c r="AN1">
        <v>4</v>
      </c>
      <c r="AO1">
        <v>6</v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</row>
    <row r="2">
      <c r="A2" t="str">
        <v>교육구분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강사정보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>
        <f>SUBTOTAL(9,W4:W3044)</f>
      </c>
      <c r="X2">
        <f>SUBTOTAL(9,X4:X3044)</f>
      </c>
      <c r="Y2">
        <f>SUBTOTAL(9,Y4:Y3044)</f>
      </c>
      <c r="Z2">
        <f>SUBTOTAL(9,Z4:Z3044)</f>
      </c>
      <c r="AA2">
        <f>SUBTOTAL(9,AA4:AA3044)</f>
      </c>
      <c r="AB2">
        <f>SUBTOTAL(9,AB4:AB3044)</f>
      </c>
      <c r="AC2">
        <f>SUBTOTAL(9,AC4:AC3044)</f>
      </c>
      <c r="AD2">
        <f>SUBTOTAL(9,AD4:AD3044)</f>
      </c>
      <c r="AE2">
        <f>SUBTOTAL(9,AE4:AE3044)</f>
      </c>
      <c r="AF2">
        <f>SUBTOTAL(9,AF4:AF3044)</f>
      </c>
      <c r="AG2">
        <f>SUBTOTAL(9,AG4:AG3044)</f>
      </c>
      <c r="AH2">
        <f>SUBTOTAL(9,AH4:AH3044)</f>
      </c>
      <c r="AI2">
        <f>SUBTOTAL(9,AI4:AI3044)</f>
      </c>
      <c r="AJ2">
        <f>SUBTOTAL(9,AJ4:AJ3044)</f>
      </c>
      <c r="AK2">
        <f>SUBTOTAL(9,AK4:AK3044)</f>
      </c>
      <c r="AL2">
        <f>SUBTOTAL(9,AL4:AL3044)</f>
      </c>
      <c r="AM2">
        <f>SUBTOTAL(9,AM4:AM3044)</f>
      </c>
      <c r="AN2">
        <f>SUBTOTAL(9,AN4:AN3044)</f>
      </c>
      <c r="AO2">
        <f>SUBTOTAL(9,AO4:AO3044)</f>
      </c>
      <c r="AP2">
        <f>SUBTOTAL(9,AP4:AP3044)</f>
      </c>
      <c r="AQ2">
        <f>SUBTOTAL(9,AQ4:AQ3044)</f>
      </c>
      <c r="AR2">
        <f>SUBTOTAL(9,AR4:AR3044)</f>
      </c>
      <c r="AS2">
        <f>SUBTOTAL(9,AS4:AS3044)</f>
      </c>
      <c r="AT2">
        <f>SUBTOTAL(9,AT4:AT3044)</f>
      </c>
      <c r="AU2">
        <f>SUBTOTAL(9,AU4:AU3044)</f>
      </c>
      <c r="AV2">
        <f>SUBTOTAL(9,AV4:AV3044)</f>
      </c>
      <c r="AW2">
        <f>SUBTOTAL(9,AW4:AW3044)</f>
      </c>
      <c r="AX2">
        <f>SUBTOTAL(9,AX4:AX3044)</f>
      </c>
      <c r="AY2">
        <f>SUBTOTAL(9,AY4:AY3044)</f>
      </c>
      <c r="AZ2">
        <f>SUBTOTAL(9,AZ4:AZ3044)</f>
      </c>
      <c r="BA2">
        <f>SUBTOTAL(9,BA4:BA3044)</f>
      </c>
      <c r="BB2">
        <f>SUBTOTAL(9,BB4:BB3044)</f>
      </c>
      <c r="BC2">
        <f>SUBTOTAL(9,BC4:BC3044)</f>
      </c>
      <c r="BD2">
        <f>SUBTOTAL(9,BD4:BD3044)</f>
      </c>
      <c r="BE2">
        <f>SUBTOTAL(9,BE4:BE3044)</f>
      </c>
      <c r="BF2">
        <f>SUBTOTAL(9,BF4:BF3044)</f>
      </c>
      <c r="BG2">
        <f>SUBTOTAL(9,BG4:BG3044)</f>
      </c>
      <c r="BH2">
        <f>SUBTOTAL(9,BH4:BH3044)</f>
      </c>
      <c r="BI2">
        <f>SUBTOTAL(9,BI4:BI3044)</f>
      </c>
      <c r="BJ2">
        <f>SUBTOTAL(9,BJ4:BJ3044)</f>
      </c>
      <c r="BK2">
        <f>SUBTOTAL(9,BK4:BK3044)</f>
      </c>
      <c r="BL2">
        <f>SUM(W2:BK2)</f>
      </c>
      <c r="BM2" t="str">
        <v/>
      </c>
      <c r="BN2" t="str">
        <v/>
      </c>
    </row>
    <row r="3" xml:space="preserve">
      <c r="A3" t="str">
        <v>교육명</v>
      </c>
      <c r="B3" t="str" xml:space="preserve">
        <v xml:space="preserve">교육일 임박 불참건
(감점)</v>
      </c>
      <c r="C3" t="str" xml:space="preserve">
        <v xml:space="preserve">영어교육 건
(가점)</v>
      </c>
      <c r="D3" t="str" xml:space="preserve">
        <v xml:space="preserve">긴급추진 건
(가점)</v>
      </c>
      <c r="E3" t="str" xml:space="preserve">
        <v xml:space="preserve">교육장소
(상세)</v>
      </c>
      <c r="F3" t="str">
        <v>교육일</v>
      </c>
      <c r="G3" t="str">
        <v>월</v>
      </c>
      <c r="H3" t="str" xml:space="preserve">
        <v xml:space="preserve">지역
(권역)</v>
      </c>
      <c r="I3" t="str">
        <v>자원</v>
      </c>
      <c r="J3" t="str">
        <v>교육유형</v>
      </c>
      <c r="K3" t="str">
        <v>담당자</v>
      </c>
      <c r="L3" t="str" xml:space="preserve">
        <v xml:space="preserve">강사 수
(전문강사수)</v>
      </c>
      <c r="M3" t="str">
        <v>강사1</v>
      </c>
      <c r="N3" t="str">
        <v>강사2</v>
      </c>
      <c r="O3" t="str">
        <v>강사3</v>
      </c>
      <c r="P3" t="str">
        <v>강사4</v>
      </c>
      <c r="Q3" t="str">
        <v>강사5</v>
      </c>
      <c r="R3" t="str">
        <v>강사6</v>
      </c>
      <c r="S3" t="str">
        <v>강사7</v>
      </c>
      <c r="T3" t="str">
        <v>강사8</v>
      </c>
      <c r="U3" t="str">
        <v>강사9</v>
      </c>
      <c r="V3" t="str">
        <v>기관명</v>
      </c>
      <c r="W3" t="str">
        <v>국가대표</v>
      </c>
      <c r="X3" t="str" xml:space="preserve">
        <v xml:space="preserve">국가대표
후보</v>
      </c>
      <c r="Y3" t="str">
        <v>청소년대표</v>
      </c>
      <c r="Z3" t="str">
        <v>꿈나무선수</v>
      </c>
      <c r="AA3" t="str">
        <v>RTP/TP</v>
      </c>
      <c r="AB3" t="str" xml:space="preserve">
        <v xml:space="preserve">제재 후 
복귀선수</v>
      </c>
      <c r="AC3" t="str" xml:space="preserve">
        <v xml:space="preserve">직장운동
경기부</v>
      </c>
      <c r="AD3" t="str" xml:space="preserve">
        <v xml:space="preserve">장애인
국가대표</v>
      </c>
      <c r="AE3" t="str" xml:space="preserve">
        <v xml:space="preserve">장애인
선수</v>
      </c>
      <c r="AF3" t="str" xml:space="preserve">
        <v xml:space="preserve">장애인
선수지원요원</v>
      </c>
      <c r="AG3" t="str">
        <v>초등선수</v>
      </c>
      <c r="AH3" t="str">
        <v>중등선수</v>
      </c>
      <c r="AI3" t="str">
        <v>고등선수</v>
      </c>
      <c r="AJ3" t="str">
        <v>체육중</v>
      </c>
      <c r="AK3" t="str">
        <v>체육고</v>
      </c>
      <c r="AL3" t="str">
        <v xml:space="preserve">프로유스 </v>
      </c>
      <c r="AM3" t="str">
        <v>대학선수</v>
      </c>
      <c r="AN3" t="str">
        <v>클럽 선수반</v>
      </c>
      <c r="AO3" t="str">
        <v>교사</v>
      </c>
      <c r="AP3" t="str">
        <v>학부모</v>
      </c>
      <c r="AQ3" t="str" xml:space="preserve">
        <v xml:space="preserve">프로
(KBL)</v>
      </c>
      <c r="AR3" t="str" xml:space="preserve">
        <v xml:space="preserve">프로
(KOVO)</v>
      </c>
      <c r="AS3" t="str" xml:space="preserve">
        <v xml:space="preserve">프로
(KBO)</v>
      </c>
      <c r="AT3" t="str" xml:space="preserve">
        <v xml:space="preserve">프로
(WKBL)</v>
      </c>
      <c r="AU3" t="str" xml:space="preserve">
        <v xml:space="preserve">프로
(KLPGA)</v>
      </c>
      <c r="AV3" t="str" xml:space="preserve">
        <v xml:space="preserve">프로
(KPGA)</v>
      </c>
      <c r="AW3" t="str" xml:space="preserve">
        <v xml:space="preserve">프로
(K리그)</v>
      </c>
      <c r="AX3" t="str">
        <v>경륜 경정</v>
      </c>
      <c r="AY3" t="str">
        <v>1급 전문</v>
      </c>
      <c r="AZ3" t="str">
        <v>2급 전문</v>
      </c>
      <c r="BA3" t="str">
        <v>1급 장애</v>
      </c>
      <c r="BB3" t="str">
        <v>2급 장애</v>
      </c>
      <c r="BC3" t="str">
        <v>1급 생활</v>
      </c>
      <c r="BD3" t="str">
        <v>2급 생활</v>
      </c>
      <c r="BE3" t="str">
        <v>건운사</v>
      </c>
      <c r="BF3" t="str">
        <v>노인</v>
      </c>
      <c r="BG3" t="str">
        <v>유소년</v>
      </c>
      <c r="BH3" t="str">
        <v>행정가</v>
      </c>
      <c r="BI3" t="str">
        <v>지도자</v>
      </c>
      <c r="BJ3" t="str">
        <v>트레이너</v>
      </c>
      <c r="BK3" t="str">
        <v>기타</v>
      </c>
      <c r="BL3" t="str">
        <v>합계</v>
      </c>
      <c r="BM3" t="str">
        <v>비고</v>
      </c>
    </row>
    <row r="4">
      <c r="A4" t="str">
        <v>수영(경영) 국가대표 후보선수 대상 도핑방지교육(2.3.)</v>
      </c>
      <c r="B4" t="str">
        <v/>
      </c>
      <c r="C4" t="str">
        <v/>
      </c>
      <c r="D4" t="str">
        <v/>
      </c>
      <c r="E4" t="str">
        <v>전남 목포시 원형서로 20  (상동)</v>
      </c>
      <c r="F4" t="str">
        <v>2026-02-03</v>
      </c>
      <c r="G4">
        <f>MONTH(F4)</f>
      </c>
      <c r="H4" t="str">
        <v>전남</v>
      </c>
      <c r="I4" t="str">
        <v>기금</v>
      </c>
      <c r="J4" t="str">
        <v>강의형(대면)교육</v>
      </c>
      <c r="K4" t="str">
        <v>강용환(010-8531-1523)</v>
      </c>
      <c r="L4">
        <v>1</v>
      </c>
      <c r="M4" t="str">
        <v>장선웅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한국도핑방지위원회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f>SUBTOTAL(9,W4:BK4)</f>
      </c>
      <c r="BM4" t="str">
        <v>eKADA ID: 985</v>
      </c>
    </row>
    <row r="5">
      <c r="A5" t="str">
        <v>전남스포츠과학센터 스포츠과학교실 참가 학생선수 대상 도핑방지교육(1.31.)</v>
      </c>
      <c r="B5" t="str">
        <v/>
      </c>
      <c r="C5" t="str">
        <v/>
      </c>
      <c r="D5" t="str">
        <v/>
      </c>
      <c r="E5" t="str">
        <v>전남 강진군 군동면 청자로 299</v>
      </c>
      <c r="F5" t="str">
        <v>2026-01-31</v>
      </c>
      <c r="G5">
        <f>MONTH(F5)</f>
      </c>
      <c r="H5" t="str">
        <v>전남</v>
      </c>
      <c r="I5" t="str">
        <v>기금</v>
      </c>
      <c r="J5" t="str">
        <v>강의형(대면)교육</v>
      </c>
      <c r="K5" t="str">
        <v>차여진(010-8339-5333)</v>
      </c>
      <c r="L5">
        <v>1</v>
      </c>
      <c r="M5" t="str">
        <v>이명수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한국도핑방지위원회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f>SUBTOTAL(9,W5:BK5)</f>
      </c>
      <c r="BM5" t="str">
        <v>eKADA ID: 980</v>
      </c>
    </row>
    <row r="6">
      <c r="A6" t="str">
        <v>자전거(중장거리, MTB) 국가대표 후보선수 대상 도핑방지교육(1.28.)</v>
      </c>
      <c r="B6" t="str">
        <v/>
      </c>
      <c r="C6" t="str">
        <v/>
      </c>
      <c r="D6" t="str">
        <v/>
      </c>
      <c r="E6" t="str">
        <v>전남 강진군 군동면 종합운동장길 60</v>
      </c>
      <c r="F6" t="str">
        <v>2026-01-28</v>
      </c>
      <c r="G6">
        <f>MONTH(F6)</f>
      </c>
      <c r="H6" t="str">
        <v>전남</v>
      </c>
      <c r="I6" t="str">
        <v>기금</v>
      </c>
      <c r="J6" t="str">
        <v>강의형(대면)교육</v>
      </c>
      <c r="K6" t="str">
        <v>정창영(010-6690-0080)</v>
      </c>
      <c r="L6">
        <v>1</v>
      </c>
      <c r="M6" t="str">
        <v>정희택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한국도핑방지위원회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f>SUBTOTAL(9,W6:BK6)</f>
      </c>
      <c r="BM6" t="str">
        <v>eKADA ID: 970</v>
      </c>
    </row>
    <row r="7">
      <c r="A7" t="str">
        <v>레슬링 미래국가대표 대상 도핑방지교육(1.28.)</v>
      </c>
      <c r="B7" t="str">
        <v/>
      </c>
      <c r="C7" t="str">
        <v/>
      </c>
      <c r="D7" t="str">
        <v/>
      </c>
      <c r="E7" t="str">
        <v>강원특별자치도 인제군 인제읍 비봉로29번길 17</v>
      </c>
      <c r="F7" t="str">
        <v>2026-01-28</v>
      </c>
      <c r="G7">
        <f>MONTH(F7)</f>
      </c>
      <c r="H7" t="str">
        <v>강원</v>
      </c>
      <c r="I7" t="str">
        <v>기금</v>
      </c>
      <c r="J7" t="str">
        <v>강의형(대면)교육</v>
      </c>
      <c r="K7" t="str">
        <v>김덕호(010-8761-7961)</v>
      </c>
      <c r="L7">
        <v>1</v>
      </c>
      <c r="M7" t="str">
        <v>이규녕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한국도핑방지위원회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f>SUBTOTAL(9,W7:BK7)</f>
      </c>
      <c r="BM7" t="str">
        <v>eKADA ID: 961</v>
      </c>
    </row>
    <row r="8">
      <c r="A8" t="str">
        <v>자전거(단거리, BMX) 국가대표 후보선수 대상 도핑방지교육(1.27.)</v>
      </c>
      <c r="B8" t="str">
        <v/>
      </c>
      <c r="C8" t="str">
        <v/>
      </c>
      <c r="D8" t="str">
        <v/>
      </c>
      <c r="E8" t="str">
        <v>충북 진천군 광혜원면 선수촌로 105</v>
      </c>
      <c r="F8" t="str">
        <v>2026-01-27</v>
      </c>
      <c r="G8">
        <f>MONTH(F8)</f>
      </c>
      <c r="H8" t="str">
        <v>충북</v>
      </c>
      <c r="I8" t="str">
        <v>기금</v>
      </c>
      <c r="J8" t="str">
        <v>강의형(대면)교육</v>
      </c>
      <c r="K8" t="str">
        <v>정창영(010-6690-0080)</v>
      </c>
      <c r="L8">
        <v>1</v>
      </c>
      <c r="M8" t="str">
        <v>한은숙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>한국도핑방지위원회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f>SUBTOTAL(9,W8:BK8)</f>
      </c>
      <c r="BM8" t="str">
        <v>eKADA ID: 969</v>
      </c>
    </row>
    <row r="9">
      <c r="A9" t="str">
        <v>★긴급★ 양궁 꿈나무선수 대상 도핑방지교육(1.27.)</v>
      </c>
      <c r="B9" t="str">
        <v/>
      </c>
      <c r="C9" t="str">
        <v/>
      </c>
      <c r="D9" t="str">
        <v/>
      </c>
      <c r="E9" t="str">
        <v>충북 진천군 광혜원면 선수촌로 105</v>
      </c>
      <c r="F9" t="str">
        <v>2026-01-27</v>
      </c>
      <c r="G9">
        <f>MONTH(F9)</f>
      </c>
      <c r="H9" t="str">
        <v>충북</v>
      </c>
      <c r="I9" t="str">
        <v>기금</v>
      </c>
      <c r="J9" t="str">
        <v>강의형(대면)교육</v>
      </c>
      <c r="K9" t="str">
        <v>조예심(010-4458-2365)</v>
      </c>
      <c r="L9">
        <v>1</v>
      </c>
      <c r="M9" t="str">
        <v>연아름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한국도핑방지위원회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f>SUBTOTAL(9,W9:BK9)</f>
      </c>
      <c r="BM9" t="str">
        <v>eKADA ID: 981</v>
      </c>
    </row>
    <row r="10">
      <c r="A10" t="str">
        <v>사격(공기총) 국가대표 후보선수 대상 도핑방지교육(1.263)</v>
      </c>
      <c r="B10" t="str">
        <v/>
      </c>
      <c r="C10" t="str">
        <v/>
      </c>
      <c r="D10" t="str">
        <v/>
      </c>
      <c r="E10" t="str">
        <v>경북 포항시 북구 새천년대로 816  (용흥동)</v>
      </c>
      <c r="F10" t="str">
        <v>2026-01-26</v>
      </c>
      <c r="G10">
        <f>MONTH(F10)</f>
      </c>
      <c r="H10" t="str">
        <v>경북</v>
      </c>
      <c r="I10" t="str">
        <v>기금</v>
      </c>
      <c r="J10" t="str">
        <v>강의형(대면)교육</v>
      </c>
      <c r="K10" t="str">
        <v>여갑순(010-9808-4522)</v>
      </c>
      <c r="L10">
        <v>1</v>
      </c>
      <c r="M10" t="str">
        <v>김인숙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한국도핑방지위원회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f>SUBTOTAL(9,W10:BK10)</f>
      </c>
      <c r="BM10" t="str">
        <v>eKADA ID: 975</v>
      </c>
    </row>
    <row r="11">
      <c r="A11" t="str">
        <v>사격(화약총) 국가대표 후보선수 대상 도핑방지교육(1.26.)</v>
      </c>
      <c r="B11" t="str">
        <v/>
      </c>
      <c r="C11" t="str">
        <v/>
      </c>
      <c r="D11" t="str">
        <v/>
      </c>
      <c r="E11" t="str">
        <v>대구 북구 문주길 170  (금호동)</v>
      </c>
      <c r="F11" t="str">
        <v>2026-01-26</v>
      </c>
      <c r="G11">
        <f>MONTH(F11)</f>
      </c>
      <c r="H11" t="str">
        <v>대구</v>
      </c>
      <c r="I11" t="str">
        <v>기금</v>
      </c>
      <c r="J11" t="str">
        <v>강의형(대면)교육</v>
      </c>
      <c r="K11" t="str">
        <v>이병준(010-2208-2083)</v>
      </c>
      <c r="L11">
        <v>1</v>
      </c>
      <c r="M11" t="str">
        <v>임채범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한국도핑방지위원회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f>SUBTOTAL(9,W11:BK11)</f>
      </c>
      <c r="BM11" t="str">
        <v>eKADA ID: 974</v>
      </c>
    </row>
    <row r="12">
      <c r="A12" t="str">
        <v>체조(남자) 청소년대표 대상 도핑방지교육(1.24.)</v>
      </c>
      <c r="B12" t="str">
        <v/>
      </c>
      <c r="C12" t="str">
        <v/>
      </c>
      <c r="D12" t="str">
        <v/>
      </c>
      <c r="E12" t="str">
        <v>서울 영등포구 대림로31나길 17  (대림동)</v>
      </c>
      <c r="F12" t="str">
        <v>2026-01-24</v>
      </c>
      <c r="G12">
        <f>MONTH(F12)</f>
      </c>
      <c r="H12" t="str">
        <v>서울</v>
      </c>
      <c r="I12" t="str">
        <v>기금</v>
      </c>
      <c r="J12" t="str">
        <v>강의형(대면)교육</v>
      </c>
      <c r="K12" t="str">
        <v>손재호(010-4533-9477)</v>
      </c>
      <c r="L12">
        <v>1</v>
      </c>
      <c r="M12" t="str">
        <v>황인미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한국도핑방지위원회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f>SUBTOTAL(9,W12:BK12)</f>
      </c>
      <c r="BM12" t="str">
        <v>eKADA ID: 978</v>
      </c>
    </row>
    <row r="13">
      <c r="A13" t="str">
        <v>양궁 국가대표 후보선수 대상 도핑방지교육(1.21.) → 교육일 변경(1.23.)</v>
      </c>
      <c r="B13" t="str">
        <v/>
      </c>
      <c r="C13" t="str">
        <v/>
      </c>
      <c r="D13" t="str">
        <v/>
      </c>
      <c r="E13" t="str">
        <v>강원특별자치도 원주시 봉화로 26  (단계동)</v>
      </c>
      <c r="F13" t="str">
        <v>2026-01-23</v>
      </c>
      <c r="G13">
        <f>MONTH(F13)</f>
      </c>
      <c r="H13" t="str">
        <v>강원</v>
      </c>
      <c r="I13" t="str">
        <v>기금</v>
      </c>
      <c r="J13" t="str">
        <v>강의형(대면)교육</v>
      </c>
      <c r="K13" t="str">
        <v>조예심(010-4458-2365)</v>
      </c>
      <c r="L13">
        <v>1</v>
      </c>
      <c r="M13" t="str">
        <v>조경희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>한국도핑방지위원회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f>SUBTOTAL(9,W13:BK13)</f>
      </c>
      <c r="BM13" t="str">
        <v>eKADA ID: 963</v>
      </c>
    </row>
    <row r="14">
      <c r="A14" t="str">
        <v>밀라노-코르티나 동계올림픽 선수단 도핑방지교육 (1.22.)</v>
      </c>
      <c r="B14" t="str">
        <v/>
      </c>
      <c r="C14" t="str">
        <v/>
      </c>
      <c r="D14" t="str">
        <v/>
      </c>
      <c r="E14" t="str">
        <v>서울 종로구 종로 33  (청진동)</v>
      </c>
      <c r="F14" t="str">
        <v>2026-01-22</v>
      </c>
      <c r="G14">
        <f>MONTH(F14)</f>
      </c>
      <c r="H14" t="str">
        <v>서울</v>
      </c>
      <c r="I14" t="str">
        <v>기금</v>
      </c>
      <c r="J14" t="str">
        <v>강의형(대면)교육</v>
      </c>
      <c r="K14" t="str">
        <v>나한국</v>
      </c>
      <c r="L14">
        <v>1</v>
      </c>
      <c r="M14" t="str">
        <v>나한국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한국도핑방지위원회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f>SUBTOTAL(9,W14:BK14)</f>
      </c>
      <c r="BM14" t="str">
        <v>eKADA ID: 972</v>
      </c>
    </row>
    <row r="15">
      <c r="A15" t="str">
        <v>육상(도약) 국가대표 후보선수 및 청소년대표 대상 도핑방지교육(1.22.)</v>
      </c>
      <c r="B15" t="str">
        <v/>
      </c>
      <c r="C15" t="str">
        <v/>
      </c>
      <c r="D15" t="str">
        <v/>
      </c>
      <c r="E15" t="str">
        <v>전남 해남군 해남읍 교육청길 38</v>
      </c>
      <c r="F15" t="str">
        <v>2026-01-22</v>
      </c>
      <c r="G15">
        <f>MONTH(F15)</f>
      </c>
      <c r="H15" t="str">
        <v>전남</v>
      </c>
      <c r="I15" t="str">
        <v>기금</v>
      </c>
      <c r="J15" t="str">
        <v>강의형(대면)교육</v>
      </c>
      <c r="K15" t="str">
        <v>김수연 감독(010-9357-4245)</v>
      </c>
      <c r="L15">
        <v>1</v>
      </c>
      <c r="M15" t="str">
        <v>김진훈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>한국도핑방지위원회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f>SUBTOTAL(9,W15:BK15)</f>
      </c>
      <c r="BM15" t="str">
        <v>eKADA ID: 952</v>
      </c>
    </row>
    <row r="16">
      <c r="A16" t="str">
        <v>육상(투척) 국가대표 후보선수 및 청소년대표 대상 도핑방지교육(1.21.)</v>
      </c>
      <c r="B16" t="str">
        <v/>
      </c>
      <c r="C16" t="str">
        <v/>
      </c>
      <c r="D16" t="str">
        <v/>
      </c>
      <c r="E16" t="str">
        <v>전북특별자치도 익산시 무왕로 1397  (부송동)</v>
      </c>
      <c r="F16" t="str">
        <v>2026-01-21</v>
      </c>
      <c r="G16">
        <f>MONTH(F16)</f>
      </c>
      <c r="H16" t="str">
        <v>전북</v>
      </c>
      <c r="I16" t="str">
        <v>기금</v>
      </c>
      <c r="J16" t="str">
        <v>강의형(대면)교육</v>
      </c>
      <c r="K16" t="str">
        <v>성호준 감독(010-5231-8988)</v>
      </c>
      <c r="L16">
        <v>1</v>
      </c>
      <c r="M16" t="str">
        <v>김진훈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>한국도핑방지위원회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f>SUBTOTAL(9,W16:BK16)</f>
      </c>
      <c r="BM16" t="str">
        <v>eKADA ID: 953</v>
      </c>
    </row>
    <row r="17">
      <c r="A17" t="str">
        <v>근대5종 국가대표 후보선수 대상 도핑방지교육(1.21.)</v>
      </c>
      <c r="B17" t="str">
        <v/>
      </c>
      <c r="C17" t="str">
        <v/>
      </c>
      <c r="D17" t="str">
        <v/>
      </c>
      <c r="E17" t="str">
        <v>전남 해남군 해남읍 해남로 72</v>
      </c>
      <c r="F17" t="str">
        <v>2026-01-21</v>
      </c>
      <c r="G17">
        <f>MONTH(F17)</f>
      </c>
      <c r="H17" t="str">
        <v>전남</v>
      </c>
      <c r="I17" t="str">
        <v>기금</v>
      </c>
      <c r="J17" t="str">
        <v>강의형(대면)교육</v>
      </c>
      <c r="K17" t="str">
        <v>문예린(010-9179-9211)</v>
      </c>
      <c r="L17">
        <v>1</v>
      </c>
      <c r="M17" t="str">
        <v>정희택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>한국도핑방지위원회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f>SUBTOTAL(9,W17:BK17)</f>
      </c>
      <c r="BM17" t="str">
        <v>eKADA ID: 960</v>
      </c>
    </row>
    <row r="18">
      <c r="A18" t="str">
        <v>배구 국가대표 후보선수(남) 대상 도핑방지교육(1.16.)</v>
      </c>
      <c r="B18" t="str">
        <v/>
      </c>
      <c r="C18" t="str">
        <v/>
      </c>
      <c r="D18" t="str">
        <v/>
      </c>
      <c r="E18" t="str">
        <v>충북 진천군 광혜원면 선수촌로 105</v>
      </c>
      <c r="F18" t="str">
        <v>2026-01-16</v>
      </c>
      <c r="G18">
        <f>MONTH(F18)</f>
      </c>
      <c r="H18" t="str">
        <v>충북</v>
      </c>
      <c r="I18" t="str">
        <v>기금</v>
      </c>
      <c r="J18" t="str">
        <v>강의형(대면)교육</v>
      </c>
      <c r="K18" t="str">
        <v>김정근(010-9056-4352)</v>
      </c>
      <c r="L18">
        <v>1</v>
      </c>
      <c r="M18" t="str">
        <v>한은숙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>한국도핑방지위원회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f>SUBTOTAL(9,W18:BK18)</f>
      </c>
      <c r="BM18" t="str">
        <v>eKADA ID: 959</v>
      </c>
    </row>
    <row r="19">
      <c r="A19" t="str">
        <v>육상(단거리) 국가대표 후보선수 및 청소년대표 대상 도핑방지교육(1.8.) → 교육일 변경(1.15.)</v>
      </c>
      <c r="B19" t="str">
        <v/>
      </c>
      <c r="C19" t="str">
        <v/>
      </c>
      <c r="D19" t="str">
        <v/>
      </c>
      <c r="E19" t="str">
        <v>경북 예천군 예천읍 충효로 393</v>
      </c>
      <c r="F19" t="str">
        <v>2026-01-15</v>
      </c>
      <c r="G19">
        <f>MONTH(F19)</f>
      </c>
      <c r="H19" t="str">
        <v>경북</v>
      </c>
      <c r="I19" t="str">
        <v>기금</v>
      </c>
      <c r="J19" t="str">
        <v>강의형(대면)교육</v>
      </c>
      <c r="K19" t="str">
        <v>김성배(010-8817-7089)</v>
      </c>
      <c r="L19">
        <v>1</v>
      </c>
      <c r="M19" t="str">
        <v>임채범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>한국도핑방지위원회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f>SUBTOTAL(9,W19:BK19)</f>
      </c>
      <c r="BM19" t="str">
        <v>eKADA ID: 964</v>
      </c>
    </row>
    <row r="20">
      <c r="A20" t="str">
        <v>복싱 국가대표 후보선수 대상 도핑방지교육(1.15.)</v>
      </c>
      <c r="B20" t="str">
        <v/>
      </c>
      <c r="C20" t="str">
        <v/>
      </c>
      <c r="D20" t="str">
        <v/>
      </c>
      <c r="E20" t="str">
        <v>충남 청양군 청양읍 충절로 1204</v>
      </c>
      <c r="F20" t="str">
        <v>2026-01-15</v>
      </c>
      <c r="G20">
        <f>MONTH(F20)</f>
      </c>
      <c r="H20" t="str">
        <v>충남</v>
      </c>
      <c r="I20" t="str">
        <v>기금</v>
      </c>
      <c r="J20" t="str">
        <v>강의형(대면)교육</v>
      </c>
      <c r="K20" t="str">
        <v>김경수(010-5286-7630)</v>
      </c>
      <c r="L20">
        <v>1</v>
      </c>
      <c r="M20" t="str">
        <v>전윤걸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>한국도핑방지위원회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f>SUBTOTAL(9,W20:BK20)</f>
      </c>
      <c r="BM20" t="str">
        <v>eKADA ID: 965</v>
      </c>
    </row>
    <row r="21">
      <c r="A21" t="str">
        <v>배구 국가대표 후보선수(여) 대상 도핑방지교육(1.10.)</v>
      </c>
      <c r="B21" t="str">
        <v/>
      </c>
      <c r="C21" t="str">
        <v/>
      </c>
      <c r="D21" t="str">
        <v/>
      </c>
      <c r="E21" t="str">
        <v>충북 진천군 광혜원면 선수촌로 105</v>
      </c>
      <c r="F21" t="str">
        <v>2026-01-10</v>
      </c>
      <c r="G21">
        <f>MONTH(F21)</f>
      </c>
      <c r="H21" t="str">
        <v>충북</v>
      </c>
      <c r="I21" t="str">
        <v>기금</v>
      </c>
      <c r="J21" t="str">
        <v>강의형(대면)교육</v>
      </c>
      <c r="K21" t="str">
        <v>김정근(010-9056-4352)</v>
      </c>
      <c r="L21">
        <v>1</v>
      </c>
      <c r="M21" t="str">
        <v>전윤걸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>한국도핑방지위원회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f>SUBTOTAL(9,W21:BK21)</f>
      </c>
      <c r="BM21" t="str">
        <v>eKADA ID: 958</v>
      </c>
    </row>
    <row r="22">
      <c r="A22" t="str">
        <v>육상(중장거리) 국가대표 후보선수 및 청소년대표 대상 도핑방지교육(1.8.)</v>
      </c>
      <c r="B22" t="str">
        <v/>
      </c>
      <c r="C22" t="str">
        <v/>
      </c>
      <c r="D22" t="str">
        <v/>
      </c>
      <c r="E22" t="str">
        <v>전남 진도군 진도읍 공설운동장길 57</v>
      </c>
      <c r="F22" t="str">
        <v>2026-01-08</v>
      </c>
      <c r="G22">
        <f>MONTH(F22)</f>
      </c>
      <c r="H22" t="str">
        <v>전남</v>
      </c>
      <c r="I22" t="str">
        <v>기금</v>
      </c>
      <c r="J22" t="str">
        <v>강의형(대면)교육</v>
      </c>
      <c r="K22" t="str">
        <v>신중호 전문지도자(010-6324-0852)</v>
      </c>
      <c r="L22">
        <v>1</v>
      </c>
      <c r="M22" t="str">
        <v>장선웅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>한국도핑방지위원회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f>SUBTOTAL(9,W22:BK22)</f>
      </c>
      <c r="BM22" t="str">
        <v>eKADA ID: 951</v>
      </c>
    </row>
    <row r="23">
      <c r="A23" t="str">
        <v>양궁 청소년대표 대상 도핑방지교육(1.9.) → 교육일정 변경(1.7.)</v>
      </c>
      <c r="B23" t="str">
        <v/>
      </c>
      <c r="C23" t="str">
        <v/>
      </c>
      <c r="D23" t="str">
        <v/>
      </c>
      <c r="E23" t="str">
        <v>강원특별자치도 원주시 봉화로 26  (단계동)</v>
      </c>
      <c r="F23" t="str">
        <v>2026-01-07</v>
      </c>
      <c r="G23">
        <f>MONTH(F23)</f>
      </c>
      <c r="H23" t="str">
        <v>강원</v>
      </c>
      <c r="I23" t="str">
        <v>기금</v>
      </c>
      <c r="J23" t="str">
        <v>강의형(대면)교육</v>
      </c>
      <c r="K23" t="str">
        <v>조예심(010-4458-2365)</v>
      </c>
      <c r="L23">
        <v>1</v>
      </c>
      <c r="M23" t="str">
        <v>조경희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>한국도핑방지위원회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f>SUBTOTAL(9,W23:BK23)</f>
      </c>
      <c r="BM23" t="str">
        <v>eKADA ID: 962</v>
      </c>
    </row>
    <row r="24">
      <c r="A24" t="str">
        <v>2026 LCK &amp; LCK CL e스포츠 도핑방지교육 (1. 2.)</v>
      </c>
      <c r="B24" t="str">
        <v/>
      </c>
      <c r="C24" t="str">
        <v/>
      </c>
      <c r="D24" t="str">
        <v/>
      </c>
      <c r="E24" t="str">
        <v>서울 종로구 종로 33  (청진동)</v>
      </c>
      <c r="F24" t="str">
        <v>2026-01-02</v>
      </c>
      <c r="G24">
        <f>MONTH(F24)</f>
      </c>
      <c r="H24" t="str">
        <v>서울</v>
      </c>
      <c r="I24" t="str">
        <v>기금</v>
      </c>
      <c r="J24" t="str">
        <v>강의형(대면)교육</v>
      </c>
      <c r="K24" t="str">
        <v>유동구 팀장(010-7496-9625)</v>
      </c>
      <c r="L24">
        <v>1</v>
      </c>
      <c r="M24" t="str">
        <v>나한국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>한국도핑방지위원회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f>SUBTOTAL(9,W24:BK24)</f>
      </c>
      <c r="BM24" t="str">
        <v>eKADA ID: 957</v>
      </c>
    </row>
  </sheetData>
  <mergeCells count="2">
    <mergeCell ref="A2:F2"/>
    <mergeCell ref="L2:U2"/>
  </mergeCells>
  <ignoredErrors>
    <ignoredError numberStoredAsText="1" sqref="A1:BN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재원</v>
      </c>
      <c r="B1" t="str">
        <v>권역</v>
      </c>
      <c r="C1" t="str">
        <v>기관명</v>
      </c>
      <c r="D1" t="str">
        <v>교육유형</v>
      </c>
      <c r="E1" t="str">
        <v>강사명</v>
      </c>
      <c r="F1" t="str">
        <v>대상</v>
      </c>
      <c r="G1" t="str">
        <v>종목단체명</v>
      </c>
    </row>
    <row r="2">
      <c r="A2" t="str">
        <v>기금</v>
      </c>
      <c r="B2" t="str">
        <v>서울</v>
      </c>
      <c r="C2" t="str">
        <v>대한체육회</v>
      </c>
      <c r="D2" t="str">
        <v>강의형(대면)교육</v>
      </c>
      <c r="E2" t="str">
        <v>강명신</v>
      </c>
      <c r="F2" t="str">
        <v>초등선수</v>
      </c>
      <c r="G2" t="str">
        <v>K리그</v>
      </c>
    </row>
    <row r="3">
      <c r="A3" t="str">
        <v>자체</v>
      </c>
      <c r="B3" t="str">
        <v>부산</v>
      </c>
      <c r="C3" t="str">
        <v>회원종목단체</v>
      </c>
      <c r="D3" t="str">
        <v>온라인 실시간</v>
      </c>
      <c r="E3" t="str">
        <v>강민우</v>
      </c>
      <c r="F3" t="str">
        <v>중등선수</v>
      </c>
      <c r="G3" t="str">
        <v>KBO</v>
      </c>
    </row>
    <row r="4">
      <c r="A4" t="str">
        <v>기타</v>
      </c>
      <c r="B4" t="str">
        <v>인천</v>
      </c>
      <c r="C4" t="str">
        <v>대한장애인체육회</v>
      </c>
      <c r="D4" t="str">
        <v>체험형</v>
      </c>
      <c r="E4" t="str">
        <v>강효찬</v>
      </c>
      <c r="F4" t="str">
        <v>고등선수</v>
      </c>
      <c r="G4" t="str">
        <v>KOVO</v>
      </c>
    </row>
    <row r="5">
      <c r="A5" t="str">
        <v/>
      </c>
      <c r="B5" t="str">
        <v>대구</v>
      </c>
      <c r="C5" t="str">
        <v>가맹경기단체</v>
      </c>
      <c r="D5" t="str">
        <v>아웃리치</v>
      </c>
      <c r="E5" t="str">
        <v>곽상수</v>
      </c>
      <c r="F5" t="str">
        <v>대학선수</v>
      </c>
      <c r="G5" t="str">
        <v>KBL</v>
      </c>
    </row>
    <row r="6">
      <c r="A6" t="str">
        <v/>
      </c>
      <c r="B6" t="str">
        <v>대전</v>
      </c>
      <c r="C6" t="str">
        <v>시도체육회</v>
      </c>
      <c r="D6" t="str">
        <v/>
      </c>
      <c r="E6" t="str">
        <v>권진숙</v>
      </c>
      <c r="F6" t="str">
        <v>클럽 선수반</v>
      </c>
      <c r="G6" t="str">
        <v>WKBL</v>
      </c>
    </row>
    <row r="7">
      <c r="A7" t="str">
        <v/>
      </c>
      <c r="B7" t="str">
        <v>광주</v>
      </c>
      <c r="C7" t="str">
        <v>시도장애인체육회</v>
      </c>
      <c r="D7" t="str">
        <v/>
      </c>
      <c r="E7" t="str">
        <v>권현석</v>
      </c>
      <c r="F7" t="str">
        <v>학교운동부지도자</v>
      </c>
      <c r="G7" t="str">
        <v>KPGA</v>
      </c>
    </row>
    <row r="8">
      <c r="A8" t="str">
        <v/>
      </c>
      <c r="B8" t="str">
        <v>울산</v>
      </c>
      <c r="C8" t="str">
        <v>프로스포츠단체</v>
      </c>
      <c r="D8" t="str">
        <v/>
      </c>
      <c r="E8" t="str">
        <v>기보배</v>
      </c>
      <c r="F8" t="str">
        <v>학부모</v>
      </c>
      <c r="G8" t="str">
        <v>KLPGA</v>
      </c>
    </row>
    <row r="9">
      <c r="A9" t="str">
        <v/>
      </c>
      <c r="B9" t="str">
        <v>세종</v>
      </c>
      <c r="C9" t="str">
        <v>시도교육(지원)청</v>
      </c>
      <c r="D9" t="str">
        <v/>
      </c>
      <c r="E9" t="str">
        <v>김나라</v>
      </c>
      <c r="F9" t="str">
        <v>직장운동경기부</v>
      </c>
      <c r="G9" t="str">
        <v/>
      </c>
    </row>
    <row r="10">
      <c r="A10" t="str">
        <v/>
      </c>
      <c r="B10" t="str">
        <v>경기</v>
      </c>
      <c r="C10" t="str">
        <v>체육중고</v>
      </c>
      <c r="D10" t="str">
        <v/>
      </c>
      <c r="E10" t="str">
        <v>김민정</v>
      </c>
      <c r="F10" t="str">
        <v>국가대표</v>
      </c>
      <c r="G10" t="str">
        <v/>
      </c>
    </row>
    <row r="11">
      <c r="A11" t="str">
        <v/>
      </c>
      <c r="B11" t="str">
        <v>강원</v>
      </c>
      <c r="C11" t="str">
        <v>학교운동부</v>
      </c>
      <c r="D11" t="str">
        <v/>
      </c>
      <c r="E11" t="str">
        <v>김민주</v>
      </c>
      <c r="F11" t="str">
        <v>국가대표후보선수</v>
      </c>
      <c r="G11" t="str">
        <v/>
      </c>
    </row>
    <row r="12">
      <c r="A12" t="str">
        <v/>
      </c>
      <c r="B12" t="str">
        <v>충북</v>
      </c>
      <c r="C12" t="str">
        <v>체육지도자 자격연수기관</v>
      </c>
      <c r="D12" t="str">
        <v/>
      </c>
      <c r="E12" t="str">
        <v>김반석</v>
      </c>
      <c r="F12" t="str">
        <v>청소년대표</v>
      </c>
      <c r="G12" t="str">
        <v/>
      </c>
    </row>
    <row r="13">
      <c r="A13" t="str">
        <v/>
      </c>
      <c r="B13" t="str">
        <v>충남</v>
      </c>
      <c r="C13" t="str">
        <v>기타</v>
      </c>
      <c r="D13" t="str">
        <v/>
      </c>
      <c r="E13" t="str">
        <v>김상훈</v>
      </c>
      <c r="F13" t="str">
        <v>꿈나무선수</v>
      </c>
      <c r="G13" t="str">
        <v/>
      </c>
    </row>
    <row r="14">
      <c r="A14" t="str">
        <v/>
      </c>
      <c r="B14" t="str">
        <v>전북</v>
      </c>
      <c r="C14" t="str">
        <v/>
      </c>
      <c r="D14" t="str">
        <v/>
      </c>
      <c r="E14" t="str">
        <v>김석현</v>
      </c>
      <c r="F14" t="str">
        <v>RTPTP</v>
      </c>
      <c r="G14" t="str">
        <v/>
      </c>
    </row>
    <row r="15">
      <c r="A15" t="str">
        <v/>
      </c>
      <c r="B15" t="str">
        <v>전남</v>
      </c>
      <c r="C15" t="str">
        <v/>
      </c>
      <c r="D15" t="str">
        <v/>
      </c>
      <c r="E15" t="str">
        <v>김영미</v>
      </c>
      <c r="F15" t="str">
        <v>제재후복귀선수</v>
      </c>
      <c r="G15" t="str">
        <v/>
      </c>
    </row>
    <row r="16">
      <c r="A16" t="str">
        <v/>
      </c>
      <c r="B16" t="str">
        <v>경북</v>
      </c>
      <c r="C16" t="str">
        <v/>
      </c>
      <c r="D16" t="str">
        <v/>
      </c>
      <c r="E16" t="str">
        <v>김인숙</v>
      </c>
      <c r="F16" t="str">
        <v>심판지도자강습회</v>
      </c>
      <c r="G16" t="str">
        <v/>
      </c>
    </row>
    <row r="17">
      <c r="A17" t="str">
        <v/>
      </c>
      <c r="B17" t="str">
        <v>경남</v>
      </c>
      <c r="C17" t="str">
        <v/>
      </c>
      <c r="D17" t="str">
        <v/>
      </c>
      <c r="E17" t="str">
        <v>김일삼</v>
      </c>
      <c r="F17" t="str">
        <v>장애선수</v>
      </c>
      <c r="G17" t="str">
        <v/>
      </c>
    </row>
    <row r="18">
      <c r="A18" t="str">
        <v/>
      </c>
      <c r="B18" t="str">
        <v>제주</v>
      </c>
      <c r="C18" t="str">
        <v/>
      </c>
      <c r="D18" t="str">
        <v/>
      </c>
      <c r="E18" t="str">
        <v>김지영</v>
      </c>
      <c r="F18" t="str">
        <v>장애선수지원요원</v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김진훈</v>
      </c>
      <c r="F19" t="str">
        <v>프로선수</v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김현주</v>
      </c>
      <c r="F20" t="str">
        <v>프로신인선수</v>
      </c>
      <c r="G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김희정</v>
      </c>
      <c r="F21" t="str">
        <v>프로유소년선수</v>
      </c>
      <c r="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남상설</v>
      </c>
      <c r="F22" t="str">
        <v>스포츠지도자연수생</v>
      </c>
      <c r="G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남성민</v>
      </c>
      <c r="F23" t="str">
        <v>스포츠행정가</v>
      </c>
      <c r="G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남택언</v>
      </c>
      <c r="F24" t="str">
        <v>검사대상자 사전교육</v>
      </c>
      <c r="G24" t="str">
        <v/>
      </c>
    </row>
  </sheetData>
  <ignoredErrors>
    <ignoredError numberStoredAsText="1" sqref="A1: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2026년 교육실적</vt:lpstr>
      <vt:lpstr>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